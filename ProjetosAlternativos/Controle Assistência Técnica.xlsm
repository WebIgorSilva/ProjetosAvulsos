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Igor S. Menezes\Documents\Controle Assistência\"/>
    </mc:Choice>
  </mc:AlternateContent>
  <bookViews>
    <workbookView xWindow="0" yWindow="0" windowWidth="20490" windowHeight="7755" activeTab="1"/>
  </bookViews>
  <sheets>
    <sheet name="Usuários e Senhas" sheetId="5" r:id="rId1"/>
    <sheet name="BancodeDados" sheetId="6" r:id="rId2"/>
    <sheet name="Plan2" sheetId="7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6" l="1"/>
  <c r="G4" i="6" s="1"/>
  <c r="H4" i="6" s="1"/>
  <c r="F3" i="6" l="1"/>
  <c r="G3" i="6" s="1"/>
  <c r="H3" i="6" s="1"/>
</calcChain>
</file>

<file path=xl/sharedStrings.xml><?xml version="1.0" encoding="utf-8"?>
<sst xmlns="http://schemas.openxmlformats.org/spreadsheetml/2006/main" count="30" uniqueCount="29">
  <si>
    <t xml:space="preserve">Usuários </t>
  </si>
  <si>
    <t>Senhas</t>
  </si>
  <si>
    <t>alan.sales</t>
  </si>
  <si>
    <t xml:space="preserve">RAZAO </t>
  </si>
  <si>
    <t>CNPJ</t>
  </si>
  <si>
    <t>SERVICO</t>
  </si>
  <si>
    <t>DT SERVICO</t>
  </si>
  <si>
    <t>DT GARANTIA</t>
  </si>
  <si>
    <t>GARANTIA EXP</t>
  </si>
  <si>
    <t>TECNICO RESP</t>
  </si>
  <si>
    <t>SITUAÇÃO</t>
  </si>
  <si>
    <t>alan2014</t>
  </si>
  <si>
    <t>jaqueline.freitas</t>
  </si>
  <si>
    <t>jaqueline2015</t>
  </si>
  <si>
    <t>flavia.vilharroel</t>
  </si>
  <si>
    <t>flavia2016</t>
  </si>
  <si>
    <t>CONTROLE DE SERVIÇOS DE ASSISTÊNCIA TÉCNICA - RONDONIA MED</t>
  </si>
  <si>
    <t>HOJE</t>
  </si>
  <si>
    <t>IGOR SILVA</t>
  </si>
  <si>
    <t>123.456.789-00</t>
  </si>
  <si>
    <t>DESMONTAGEM</t>
  </si>
  <si>
    <t>01/07/2015</t>
  </si>
  <si>
    <t>DAVI MONTEIRO DE OLIVEIRA</t>
  </si>
  <si>
    <t>19/07/2015</t>
  </si>
  <si>
    <t>FLAVIA CRISTINA</t>
  </si>
  <si>
    <t>123.456.789</t>
  </si>
  <si>
    <t>DESMONTAGEM DE PRODUTO</t>
  </si>
  <si>
    <t>30/08/2015</t>
  </si>
  <si>
    <t>MARIO CHARLES MATOS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</si>
</sst>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FF0000"/>
      <name val="Segoe UI Black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1" fillId="2" borderId="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 wrapText="1"/>
    </xf>
    <xf numFmtId="14" fontId="1" fillId="2" borderId="3" xfId="0" applyNumberFormat="1" applyFont="1" applyFill="1" applyBorder="1" applyAlignment="1">
      <alignment horizontal="center"/>
    </xf>
    <xf numFmtId="14" fontId="1" fillId="2" borderId="2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wrapText="1"/>
    </xf>
    <xf numFmtId="14" fontId="0" fillId="0" borderId="4" xfId="0" applyNumberForma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1">
    <cellStyle name="Normal" xfId="0" builtinId="0"/>
  </cellStyles>
  <dxfs count="9"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fgColor indexed="64"/>
          <bgColor theme="9"/>
        </patternFill>
      </fill>
    </dxf>
    <dxf>
      <font>
        <b/>
        <i val="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fgColor indexed="64"/>
          <bgColor theme="9"/>
        </patternFill>
      </fill>
    </dxf>
    <dxf>
      <font>
        <b/>
        <i val="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1290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2476500</xdr:colOff>
      <xdr:row>0</xdr:row>
      <xdr:rowOff>114300</xdr:rowOff>
    </xdr:from>
    <xdr:to>
      <xdr:col>1</xdr:col>
      <xdr:colOff>876300</xdr:colOff>
      <xdr:row>0</xdr:row>
      <xdr:rowOff>571500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0" y="114300"/>
          <a:ext cx="1114425" cy="45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B4"/>
  <sheetViews>
    <sheetView workbookViewId="0">
      <selection activeCell="B5" sqref="B5"/>
    </sheetView>
  </sheetViews>
  <sheetFormatPr defaultRowHeight="15" x14ac:dyDescent="0.25"/>
  <cols>
    <col min="1" max="1" width="18" customWidth="1"/>
    <col min="2" max="2" width="13.85546875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t="s">
        <v>11</v>
      </c>
    </row>
    <row r="3" spans="1:2" x14ac:dyDescent="0.25">
      <c r="A3" t="s">
        <v>12</v>
      </c>
      <c r="B3" t="s">
        <v>13</v>
      </c>
    </row>
    <row r="4" spans="1:2" x14ac:dyDescent="0.25">
      <c r="A4" t="s">
        <v>14</v>
      </c>
      <c r="B4" t="s">
        <v>15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I4"/>
  <sheetViews>
    <sheetView tabSelected="1" workbookViewId="0">
      <pane ySplit="2" topLeftCell="A3" activePane="bottomLeft" state="frozen"/>
      <selection pane="bottomLeft" activeCell="A4" sqref="A4"/>
    </sheetView>
  </sheetViews>
  <sheetFormatPr defaultRowHeight="15" x14ac:dyDescent="0.25"/>
  <cols>
    <col min="1" max="1" width="40.7109375" customWidth="1"/>
    <col min="2" max="2" width="26.85546875" customWidth="1"/>
    <col min="3" max="3" width="39.28515625" style="1" customWidth="1"/>
    <col min="4" max="4" width="14.5703125" style="2" customWidth="1"/>
    <col min="5" max="6" width="15.85546875" style="2" customWidth="1"/>
    <col min="7" max="7" width="15.28515625" customWidth="1"/>
    <col min="8" max="8" width="12.85546875" customWidth="1"/>
    <col min="9" max="9" width="27.42578125" bestFit="1" customWidth="1"/>
  </cols>
  <sheetData>
    <row r="1" spans="1:9" ht="50.25" customHeight="1" x14ac:dyDescent="0.25">
      <c r="A1" s="11" t="s">
        <v>16</v>
      </c>
      <c r="B1" s="11"/>
      <c r="C1" s="11"/>
      <c r="D1" s="11"/>
      <c r="E1" s="11"/>
      <c r="F1" s="11"/>
      <c r="G1" s="11"/>
      <c r="H1" s="11"/>
      <c r="I1" s="11"/>
    </row>
    <row r="2" spans="1:9" x14ac:dyDescent="0.25">
      <c r="A2" s="3" t="s">
        <v>3</v>
      </c>
      <c r="B2" s="3" t="s">
        <v>4</v>
      </c>
      <c r="C2" s="4" t="s">
        <v>5</v>
      </c>
      <c r="D2" s="5" t="s">
        <v>6</v>
      </c>
      <c r="E2" s="5" t="s">
        <v>7</v>
      </c>
      <c r="F2" s="6" t="s">
        <v>17</v>
      </c>
      <c r="G2" s="7" t="s">
        <v>8</v>
      </c>
      <c r="H2" s="7" t="s">
        <v>10</v>
      </c>
      <c r="I2" s="3" t="s">
        <v>9</v>
      </c>
    </row>
    <row r="3" spans="1:9" x14ac:dyDescent="0.25">
      <c r="A3" s="8" t="s">
        <v>18</v>
      </c>
      <c r="B3" s="8" t="s">
        <v>19</v>
      </c>
      <c r="C3" s="9" t="s">
        <v>20</v>
      </c>
      <c r="D3" s="10" t="s">
        <v>21</v>
      </c>
      <c r="E3" s="10" t="s">
        <v>23</v>
      </c>
      <c r="F3" s="10">
        <f ca="1">TODAY()</f>
        <v>42248</v>
      </c>
      <c r="G3" s="8">
        <f ca="1">E3-F3</f>
        <v>-44</v>
      </c>
      <c r="H3" s="8" t="str">
        <f ca="1">IF(G3&gt;0,"EM DIA",IF(G3=0,"VENCE HOJE","VENCIDA"))</f>
        <v>VENCIDA</v>
      </c>
      <c r="I3" s="8" t="s">
        <v>22</v>
      </c>
    </row>
    <row r="4" spans="1:9" x14ac:dyDescent="0.25">
      <c r="A4" s="8" t="s">
        <v>24</v>
      </c>
      <c r="B4" s="8" t="s">
        <v>25</v>
      </c>
      <c r="C4" s="9" t="s">
        <v>26</v>
      </c>
      <c r="D4" s="10" t="s">
        <v>21</v>
      </c>
      <c r="E4" s="10" t="s">
        <v>27</v>
      </c>
      <c r="F4" s="10">
        <f ca="1">TODAY()</f>
        <v>42248</v>
      </c>
      <c r="G4" s="8">
        <f ca="1">E4-F4</f>
        <v>-2</v>
      </c>
      <c r="H4" s="8" t="str">
        <f ca="1">IF(G4&gt;0,"EM DIA",IF(G4=0,"VENCE HOJE","VENCIDA"))</f>
        <v>VENCIDA</v>
      </c>
      <c r="I4" s="8" t="s">
        <v>28</v>
      </c>
    </row>
  </sheetData>
  <mergeCells count="1">
    <mergeCell ref="A1:I1"/>
  </mergeCells>
  <conditionalFormatting sqref="H2">
    <cfRule type="containsText" dxfId="8" priority="46" operator="containsText" text="VENCE HOJE">
      <formula>NOT(ISERROR(SEARCH("VENCE HOJE",H2)))</formula>
    </cfRule>
    <cfRule type="containsText" dxfId="7" priority="47" operator="containsText" text="VENCIDA">
      <formula>NOT(ISERROR(SEARCH("VENCIDA",H2)))</formula>
    </cfRule>
    <cfRule type="containsText" dxfId="6" priority="48" operator="containsText" text="EM DIA">
      <formula>NOT(ISERROR(SEARCH("EM DIA",H2)))</formula>
    </cfRule>
  </conditionalFormatting>
  <conditionalFormatting sqref="H3">
    <cfRule type="containsText" dxfId="5" priority="7" operator="containsText" text="VENCE HOJE">
      <formula>NOT(ISERROR(SEARCH("VENCE HOJE",H3)))</formula>
    </cfRule>
    <cfRule type="containsText" dxfId="4" priority="8" operator="containsText" text="EM DIA">
      <formula>NOT(ISERROR(SEARCH("EM DIA",H3)))</formula>
    </cfRule>
    <cfRule type="containsText" dxfId="3" priority="9" operator="containsText" text="VENCIDA">
      <formula>NOT(ISERROR(SEARCH("VENCIDA",H3)))</formula>
    </cfRule>
  </conditionalFormatting>
  <conditionalFormatting sqref="H4">
    <cfRule type="containsText" dxfId="2" priority="4" operator="containsText" text="VENCE HOJE">
      <formula>NOT(ISERROR(SEARCH("VENCE HOJE",H4)))</formula>
    </cfRule>
    <cfRule type="containsText" dxfId="1" priority="5" operator="containsText" text="EM DIA">
      <formula>NOT(ISERROR(SEARCH("EM DIA",H4)))</formula>
    </cfRule>
    <cfRule type="containsText" dxfId="0" priority="6" operator="containsText" text="VENCIDA">
      <formula>NOT(ISERROR(SEARCH("VENCIDA",H4)))</formula>
    </cfRule>
  </conditionalFormatting>
  <pageMargins left="0.51181102362204722" right="0.51181102362204722" top="0.78740157480314965" bottom="0.78740157480314965" header="0.31496062992125984" footer="0.31496062992125984"/>
  <pageSetup paperSize="9" scale="6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Usuários e Senhas</vt:lpstr>
      <vt:lpstr>BancodeDados</vt:lpstr>
      <vt:lpstr>Plan2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S. Menezes</dc:creator>
  <cp:lastModifiedBy>Igor S. Menezes</cp:lastModifiedBy>
  <cp:lastPrinted>2015-08-25T19:20:03Z</cp:lastPrinted>
  <dcterms:created xsi:type="dcterms:W3CDTF">2015-07-07T01:27:29Z</dcterms:created>
  <dcterms:modified xsi:type="dcterms:W3CDTF">2015-09-02T00:50:26Z</dcterms:modified>
</cp:coreProperties>
</file>